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ela.bello\Downloads\"/>
    </mc:Choice>
  </mc:AlternateContent>
  <xr:revisionPtr revIDLastSave="0" documentId="8_{B268EB5B-5743-4C68-9F53-9B0D2E5B0B5E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Dominando Tabelas" sheetId="1" r:id="rId1"/>
  </sheets>
  <definedNames>
    <definedName name="Rend.Carteira">'Dominando Tabelas'!$M$16:$N$16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M17" i="1"/>
  <c r="F36" i="1" a="1"/>
  <c r="F36" i="1"/>
  <c r="F34" i="1" a="1"/>
  <c r="F34" i="1"/>
  <c r="F33" i="1" a="1"/>
  <c r="F33" i="1"/>
  <c r="F32" i="1" a="1"/>
  <c r="F32" i="1"/>
  <c r="F35" i="1" a="1"/>
  <c r="F35" i="1"/>
  <c r="F31" i="1" a="1"/>
  <c r="F31" i="1"/>
  <c r="G22" i="1"/>
  <c r="I22" i="1"/>
  <c r="G25" i="1"/>
  <c r="I25" i="1" s="1"/>
  <c r="G24" i="1"/>
  <c r="I24" i="1" s="1"/>
  <c r="G23" i="1"/>
  <c r="I23" i="1" s="1"/>
  <c r="G18" i="1"/>
  <c r="G19" i="1"/>
  <c r="I36" i="1" l="1"/>
  <c r="I32" i="1"/>
  <c r="I33" i="1"/>
  <c r="I34" i="1"/>
  <c r="I35" i="1"/>
  <c r="I31" i="1"/>
  <c r="I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<sst xmlns="http://schemas.openxmlformats.org/spreadsheetml/2006/main" count="30" uniqueCount="30">
  <si>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Criando uma Ferramenta de Controle de Investimentos com Excel</t>
  </si>
  <si>
    <t>Plano de Investimento mensal</t>
  </si>
  <si>
    <t>Configurações</t>
  </si>
  <si>
    <t>Quanto será investido por mês?</t>
  </si>
  <si>
    <t>Salário</t>
  </si>
  <si>
    <t>Por quantos anos?</t>
  </si>
  <si>
    <t>Rendimento carteira</t>
  </si>
  <si>
    <t>Qual é a taxa de rendimento mensal?</t>
  </si>
  <si>
    <t>Sugestão de Investimento</t>
  </si>
  <si>
    <t>Patrimônio acumulado:</t>
  </si>
  <si>
    <t>Rendimento mensal:</t>
  </si>
  <si>
    <t>Cenários de Investimento</t>
  </si>
  <si>
    <t>Dividendo</t>
  </si>
  <si>
    <t>Patrimônio acumulado em 1 ano:</t>
  </si>
  <si>
    <t>Patrimônio acumulado em 3 anos:</t>
  </si>
  <si>
    <t>Patrimônio acumulado em 10 anos:</t>
  </si>
  <si>
    <t>Patrimônio acumulado em 20 anos:</t>
  </si>
  <si>
    <t>Selecione seu perfil de investimento:</t>
  </si>
  <si>
    <t>CONSERVADOR</t>
  </si>
  <si>
    <t>Valor a ser investido por mês:</t>
  </si>
  <si>
    <t>TIPO DE FII</t>
  </si>
  <si>
    <t>Percetual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</si>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</sst>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8D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50">
    <border>
      <left/>
      <right/>
      <top/>
      <bottom/>
      <diagonal/>
    </border>
    <border>
      <left style="medium">
        <color rgb="FF0D4369"/>
      </left>
      <right/>
      <top style="medium">
        <color rgb="FF0D4369"/>
      </top>
      <bottom/>
      <diagonal/>
    </border>
    <border>
      <left/>
      <right/>
      <top style="medium">
        <color rgb="FF0D4369"/>
      </top>
      <bottom/>
      <diagonal/>
    </border>
    <border>
      <left/>
      <right style="medium">
        <color rgb="FF0D4369"/>
      </right>
      <top style="medium">
        <color rgb="FF0D4369"/>
      </top>
      <bottom/>
      <diagonal/>
    </border>
    <border>
      <left style="medium">
        <color rgb="FF0D4369"/>
      </left>
      <right/>
      <top/>
      <bottom/>
      <diagonal/>
    </border>
    <border>
      <left/>
      <right style="medium">
        <color rgb="FF0D4369"/>
      </right>
      <top/>
      <bottom/>
      <diagonal/>
    </border>
    <border>
      <left style="medium">
        <color rgb="FF0D4369"/>
      </left>
      <right/>
      <top/>
      <bottom style="medium">
        <color rgb="FF0D4369"/>
      </bottom>
      <diagonal/>
    </border>
    <border>
      <left/>
      <right/>
      <top/>
      <bottom style="medium">
        <color rgb="FF0D4369"/>
      </bottom>
      <diagonal/>
    </border>
    <border>
      <left/>
      <right style="medium">
        <color rgb="FF0D4369"/>
      </right>
      <top/>
      <bottom style="medium">
        <color rgb="FF0D4369"/>
      </bottom>
      <diagonal/>
    </border>
    <border>
      <left style="medium">
        <color rgb="FF0D4369"/>
      </left>
      <right/>
      <top style="medium">
        <color rgb="FF0D4369"/>
      </top>
      <bottom style="medium">
        <color rgb="FF0D4369"/>
      </bottom>
      <diagonal/>
    </border>
    <border>
      <left/>
      <right/>
      <top style="medium">
        <color rgb="FF0D4369"/>
      </top>
      <bottom style="medium">
        <color rgb="FF0D4369"/>
      </bottom>
      <diagonal/>
    </border>
    <border>
      <left/>
      <right style="medium">
        <color rgb="FF0D4369"/>
      </right>
      <top style="medium">
        <color rgb="FF0D4369"/>
      </top>
      <bottom style="medium">
        <color rgb="FF0D4369"/>
      </bottom>
      <diagonal/>
    </border>
    <border>
      <left style="medium">
        <color rgb="FF0D4369"/>
      </left>
      <right style="thin">
        <color rgb="FF0D4369"/>
      </right>
      <top style="medium">
        <color rgb="FF0D4369"/>
      </top>
      <bottom style="thin">
        <color rgb="FF0D4369"/>
      </bottom>
      <diagonal/>
    </border>
    <border>
      <left style="thin">
        <color rgb="FF0D4369"/>
      </left>
      <right style="thin">
        <color rgb="FF0D4369"/>
      </right>
      <top style="medium">
        <color rgb="FF0D4369"/>
      </top>
      <bottom style="thin">
        <color rgb="FF0D4369"/>
      </bottom>
      <diagonal/>
    </border>
    <border>
      <left style="thin">
        <color rgb="FF0D4369"/>
      </left>
      <right style="medium">
        <color rgb="FF0D4369"/>
      </right>
      <top style="medium">
        <color rgb="FF0D4369"/>
      </top>
      <bottom style="thin">
        <color rgb="FF0D4369"/>
      </bottom>
      <diagonal/>
    </border>
    <border>
      <left style="medium">
        <color rgb="FF0D4369"/>
      </left>
      <right style="thin">
        <color rgb="FF0D4369"/>
      </right>
      <top style="thin">
        <color rgb="FF0D4369"/>
      </top>
      <bottom style="thin">
        <color rgb="FF0D4369"/>
      </bottom>
      <diagonal/>
    </border>
    <border>
      <left style="thin">
        <color rgb="FF0D4369"/>
      </left>
      <right style="thin">
        <color rgb="FF0D4369"/>
      </right>
      <top style="thin">
        <color rgb="FF0D4369"/>
      </top>
      <bottom style="thin">
        <color rgb="FF0D4369"/>
      </bottom>
      <diagonal/>
    </border>
    <border>
      <left style="thin">
        <color rgb="FF0D4369"/>
      </left>
      <right style="medium">
        <color rgb="FF0D4369"/>
      </right>
      <top style="thin">
        <color rgb="FF0D4369"/>
      </top>
      <bottom style="thin">
        <color rgb="FF0D4369"/>
      </bottom>
      <diagonal/>
    </border>
    <border>
      <left style="medium">
        <color rgb="FF0D4369"/>
      </left>
      <right style="thin">
        <color rgb="FF0D4369"/>
      </right>
      <top style="thin">
        <color rgb="FF0D4369"/>
      </top>
      <bottom style="medium">
        <color rgb="FF0D4369"/>
      </bottom>
      <diagonal/>
    </border>
    <border>
      <left style="thin">
        <color rgb="FF0D4369"/>
      </left>
      <right style="thin">
        <color rgb="FF0D4369"/>
      </right>
      <top style="thin">
        <color rgb="FF0D4369"/>
      </top>
      <bottom style="medium">
        <color rgb="FF0D4369"/>
      </bottom>
      <diagonal/>
    </border>
    <border>
      <left style="thin">
        <color rgb="FF0D4369"/>
      </left>
      <right style="medium">
        <color rgb="FF0D4369"/>
      </right>
      <top style="thin">
        <color rgb="FF0D4369"/>
      </top>
      <bottom style="medium">
        <color rgb="FF0D4369"/>
      </bottom>
      <diagonal/>
    </border>
    <border>
      <left style="medium">
        <color rgb="FF0D4369"/>
      </left>
      <right style="thin">
        <color rgb="FF0D4369"/>
      </right>
      <top/>
      <bottom style="thin">
        <color rgb="FF0D4369"/>
      </bottom>
      <diagonal/>
    </border>
    <border>
      <left style="thin">
        <color rgb="FF0D4369"/>
      </left>
      <right style="thin">
        <color rgb="FF0D4369"/>
      </right>
      <top/>
      <bottom style="thin">
        <color rgb="FF0D4369"/>
      </bottom>
      <diagonal/>
    </border>
    <border>
      <left style="thin">
        <color rgb="FF0D4369"/>
      </left>
      <right style="medium">
        <color rgb="FF0D4369"/>
      </right>
      <top/>
      <bottom style="thin">
        <color rgb="FF0D4369"/>
      </bottom>
      <diagonal/>
    </border>
    <border>
      <left style="thin">
        <color rgb="FF0D4369"/>
      </left>
      <right/>
      <top style="thin">
        <color rgb="FF0D4369"/>
      </top>
      <bottom style="medium">
        <color rgb="FF0D4369"/>
      </bottom>
      <diagonal/>
    </border>
    <border>
      <left style="thin">
        <color rgb="FF0D4369"/>
      </left>
      <right/>
      <top style="thin">
        <color rgb="FF0D4369"/>
      </top>
      <bottom style="thin">
        <color rgb="FF0D4369"/>
      </bottom>
      <diagonal/>
    </border>
    <border>
      <left/>
      <right/>
      <top style="thin">
        <color rgb="FF0D4369"/>
      </top>
      <bottom style="medium">
        <color rgb="FF0D4369"/>
      </bottom>
      <diagonal/>
    </border>
    <border>
      <left/>
      <right/>
      <top style="thin">
        <color rgb="FF0D4369"/>
      </top>
      <bottom style="thin">
        <color rgb="FF0D4369"/>
      </bottom>
      <diagonal/>
    </border>
    <border>
      <left style="thin">
        <color rgb="FF0D4369"/>
      </left>
      <right/>
      <top style="medium">
        <color rgb="FF0D4369"/>
      </top>
      <bottom style="thin">
        <color rgb="FF0D4369"/>
      </bottom>
      <diagonal/>
    </border>
    <border>
      <left/>
      <right/>
      <top style="medium">
        <color rgb="FF0D4369"/>
      </top>
      <bottom style="thin">
        <color rgb="FF0D4369"/>
      </bottom>
      <diagonal/>
    </border>
    <border>
      <left/>
      <right style="thin">
        <color rgb="FF0D4369"/>
      </right>
      <top style="medium">
        <color rgb="FF0D4369"/>
      </top>
      <bottom style="thin">
        <color rgb="FF0D4369"/>
      </bottom>
      <diagonal/>
    </border>
    <border>
      <left/>
      <right style="thin">
        <color rgb="FF0D4369"/>
      </right>
      <top style="thin">
        <color rgb="FF0D4369"/>
      </top>
      <bottom style="thin">
        <color rgb="FF0D4369"/>
      </bottom>
      <diagonal/>
    </border>
    <border>
      <left style="medium">
        <color rgb="FF0D4369"/>
      </left>
      <right/>
      <top style="thin">
        <color rgb="FF0D4369"/>
      </top>
      <bottom style="medium">
        <color rgb="FF0D4369"/>
      </bottom>
      <diagonal/>
    </border>
    <border>
      <left/>
      <right style="thin">
        <color rgb="FF0D4369"/>
      </right>
      <top style="thin">
        <color rgb="FF0D4369"/>
      </top>
      <bottom style="medium">
        <color rgb="FF0D4369"/>
      </bottom>
      <diagonal/>
    </border>
    <border>
      <left style="medium">
        <color rgb="FF0D4369"/>
      </left>
      <right/>
      <top style="thin">
        <color rgb="FF0D4369"/>
      </top>
      <bottom style="thin">
        <color rgb="FF0D4369"/>
      </bottom>
      <diagonal/>
    </border>
    <border>
      <left style="medium">
        <color rgb="FF0D4369"/>
      </left>
      <right/>
      <top style="medium">
        <color rgb="FF0D4369"/>
      </top>
      <bottom style="thin">
        <color rgb="FF0D4369"/>
      </bottom>
      <diagonal/>
    </border>
    <border>
      <left style="thin">
        <color rgb="FF0D4369"/>
      </left>
      <right/>
      <top/>
      <bottom style="thin">
        <color rgb="FF0D4369"/>
      </bottom>
      <diagonal/>
    </border>
    <border>
      <left style="thin">
        <color rgb="FF0D4369"/>
      </left>
      <right/>
      <top/>
      <bottom style="medium">
        <color rgb="FF0D4369"/>
      </bottom>
      <diagonal/>
    </border>
    <border>
      <left/>
      <right/>
      <top/>
      <bottom style="thin">
        <color rgb="FF0D4369"/>
      </bottom>
      <diagonal/>
    </border>
    <border>
      <left/>
      <right style="medium">
        <color rgb="FF0D4369"/>
      </right>
      <top/>
      <bottom style="thin">
        <color rgb="FF0D4369"/>
      </bottom>
      <diagonal/>
    </border>
    <border>
      <left/>
      <right style="thin">
        <color rgb="FF0D4369"/>
      </right>
      <top/>
      <bottom/>
      <diagonal/>
    </border>
    <border>
      <left/>
      <right style="thin">
        <color rgb="FF0D4369"/>
      </right>
      <top/>
      <bottom style="medium">
        <color rgb="FF0D4369"/>
      </bottom>
      <diagonal/>
    </border>
    <border>
      <left style="thin">
        <color rgb="FF0D4369"/>
      </left>
      <right/>
      <top style="thin">
        <color rgb="FF0D4369"/>
      </top>
      <bottom/>
      <diagonal/>
    </border>
    <border>
      <left/>
      <right/>
      <top style="thin">
        <color rgb="FF0D4369"/>
      </top>
      <bottom/>
      <diagonal/>
    </border>
    <border>
      <left/>
      <right style="thin">
        <color rgb="FF0D4369"/>
      </right>
      <top style="thin">
        <color rgb="FF0D4369"/>
      </top>
      <bottom/>
      <diagonal/>
    </border>
    <border>
      <left style="thin">
        <color rgb="FF0D4369"/>
      </left>
      <right/>
      <top/>
      <bottom/>
      <diagonal/>
    </border>
    <border>
      <left/>
      <right style="thin">
        <color rgb="FF0D4369"/>
      </right>
      <top/>
      <bottom style="thin">
        <color rgb="FF0D4369"/>
      </bottom>
      <diagonal/>
    </border>
    <border>
      <left style="medium">
        <color rgb="FF0D4369"/>
      </left>
      <right style="thin">
        <color rgb="FF0D4369"/>
      </right>
      <top style="medium">
        <color rgb="FF0D4369"/>
      </top>
      <bottom style="medium">
        <color rgb="FF0D4369"/>
      </bottom>
      <diagonal/>
    </border>
    <border>
      <left style="thin">
        <color rgb="FF0D4369"/>
      </left>
      <right style="thin">
        <color rgb="FF0D4369"/>
      </right>
      <top style="medium">
        <color rgb="FF0D4369"/>
      </top>
      <bottom style="medium">
        <color rgb="FF0D4369"/>
      </bottom>
      <diagonal/>
    </border>
    <border>
      <left style="thin">
        <color rgb="FF0D4369"/>
      </left>
      <right/>
      <top style="medium">
        <color rgb="FF0D4369"/>
      </top>
      <bottom style="medium">
        <color rgb="FF0D4369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108">
    <xf numFmtId="0" fontId="0" fillId="0" borderId="0" xfId="0"/>
    <xf numFmtId="9" fontId="0" fillId="0" borderId="0" xfId="0" applyNumberFormat="1"/>
    <xf numFmtId="8" fontId="0" fillId="0" borderId="0" xfId="0" applyNumberFormat="1"/>
    <xf numFmtId="164" fontId="2" fillId="0" borderId="0" xfId="0" applyNumberFormat="1" applyFont="1" applyAlignment="1">
      <alignment horizontal="center"/>
    </xf>
    <xf numFmtId="0" fontId="0" fillId="0" borderId="7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9" fontId="0" fillId="0" borderId="40" xfId="0" applyNumberFormat="1" applyBorder="1"/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0" fillId="0" borderId="46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right" vertical="center"/>
    </xf>
    <xf numFmtId="0" fontId="0" fillId="5" borderId="19" xfId="0" applyFill="1" applyBorder="1" applyAlignment="1">
      <alignment horizontal="right" vertical="center"/>
    </xf>
    <xf numFmtId="0" fontId="0" fillId="5" borderId="24" xfId="0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6" borderId="1" xfId="1" applyBorder="1" applyAlignment="1" applyProtection="1">
      <alignment horizontal="center" vertical="center"/>
      <protection locked="0"/>
    </xf>
    <xf numFmtId="0" fontId="3" fillId="6" borderId="2" xfId="1" applyBorder="1" applyAlignment="1" applyProtection="1">
      <alignment horizontal="center" vertical="center"/>
      <protection locked="0"/>
    </xf>
    <xf numFmtId="0" fontId="3" fillId="6" borderId="3" xfId="1" applyBorder="1" applyAlignment="1" applyProtection="1">
      <alignment horizontal="center" vertical="center"/>
      <protection locked="0"/>
    </xf>
    <xf numFmtId="165" fontId="0" fillId="0" borderId="4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0" fillId="0" borderId="36" xfId="0" applyNumberFormat="1" applyBorder="1" applyAlignment="1">
      <alignment horizontal="center" vertical="center"/>
    </xf>
    <xf numFmtId="0" fontId="0" fillId="5" borderId="47" xfId="0" applyFill="1" applyBorder="1" applyAlignment="1">
      <alignment horizontal="left"/>
    </xf>
    <xf numFmtId="0" fontId="0" fillId="5" borderId="48" xfId="0" applyFill="1" applyBorder="1" applyAlignment="1">
      <alignment horizontal="left"/>
    </xf>
    <xf numFmtId="0" fontId="0" fillId="5" borderId="49" xfId="0" applyFill="1" applyBorder="1" applyAlignment="1">
      <alignment horizontal="left"/>
    </xf>
    <xf numFmtId="165" fontId="0" fillId="0" borderId="24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0" fontId="0" fillId="5" borderId="35" xfId="0" applyFill="1" applyBorder="1" applyAlignment="1">
      <alignment horizontal="left"/>
    </xf>
    <xf numFmtId="0" fontId="0" fillId="5" borderId="29" xfId="0" applyFill="1" applyBorder="1" applyAlignment="1">
      <alignment horizontal="left"/>
    </xf>
    <xf numFmtId="0" fontId="0" fillId="5" borderId="30" xfId="0" applyFill="1" applyBorder="1" applyAlignment="1">
      <alignment horizontal="left"/>
    </xf>
    <xf numFmtId="0" fontId="0" fillId="5" borderId="34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0" fillId="5" borderId="31" xfId="0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165" fontId="0" fillId="0" borderId="25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" fontId="0" fillId="0" borderId="16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65" fontId="0" fillId="0" borderId="28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0" fillId="0" borderId="13" xfId="0" applyNumberFormat="1" applyBorder="1" applyAlignment="1" applyProtection="1">
      <alignment horizontal="center" vertical="center"/>
      <protection locked="0"/>
    </xf>
    <xf numFmtId="165" fontId="0" fillId="0" borderId="14" xfId="0" applyNumberFormat="1" applyBorder="1" applyAlignment="1" applyProtection="1">
      <alignment horizontal="center" vertical="center"/>
      <protection locked="0"/>
    </xf>
    <xf numFmtId="166" fontId="0" fillId="0" borderId="16" xfId="0" applyNumberFormat="1" applyBorder="1" applyAlignment="1" applyProtection="1">
      <alignment horizontal="center" vertical="center"/>
      <protection locked="0"/>
    </xf>
    <xf numFmtId="166" fontId="0" fillId="0" borderId="17" xfId="0" applyNumberFormat="1" applyBorder="1" applyAlignment="1" applyProtection="1">
      <alignment horizontal="center" vertical="center"/>
      <protection locked="0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3" borderId="21" xfId="0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0" fillId="0" borderId="22" xfId="0" applyNumberFormat="1" applyBorder="1" applyAlignment="1" applyProtection="1">
      <alignment horizontal="center" vertical="center"/>
      <protection locked="0"/>
    </xf>
    <xf numFmtId="165" fontId="0" fillId="0" borderId="23" xfId="0" applyNumberFormat="1" applyBorder="1" applyAlignment="1" applyProtection="1">
      <alignment horizontal="center" vertical="center"/>
      <protection locked="0"/>
    </xf>
    <xf numFmtId="10" fontId="0" fillId="0" borderId="16" xfId="0" applyNumberFormat="1" applyBorder="1" applyAlignment="1" applyProtection="1">
      <alignment horizontal="center"/>
      <protection locked="0"/>
    </xf>
    <xf numFmtId="10" fontId="0" fillId="0" borderId="17" xfId="0" applyNumberFormat="1" applyBorder="1" applyAlignment="1" applyProtection="1">
      <alignment horizontal="center"/>
      <protection locked="0"/>
    </xf>
    <xf numFmtId="165" fontId="0" fillId="0" borderId="36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</cellXfs>
  <cellStyles count="2">
    <cellStyle name="Bom" xfId="1" builtinId="26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D4369"/>
      <color rgb="FFFCF6B1"/>
      <color rgb="FF0A9421"/>
      <color rgb="FFF77E7E"/>
      <color rgb="FF268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428625</xdr:colOff>
      <xdr:row>13</xdr:row>
      <xdr:rowOff>123825</xdr:rowOff>
    </xdr:from>
    <xdr:to>
      <xdr:col>9</xdr:col>
      <xdr:colOff>0</xdr:colOff>
      <xdr:row>13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33E36B8B-E638-4994-B43D-550561D90DDF}"/>
                </a:ext>
                <a:ext uri="{147F2762-F138-4A5C-976F-8EAC2B608ADB}">
                  <a16:predDERef xmlns:a16="http://schemas.microsoft.com/office/drawing/2014/main" pred="{B912D7DE-4161-AF06-620D-380C8B9AD6D3}"/>
                </a:ext>
              </a:extLst>
            </xdr14:cNvPr>
            <xdr14:cNvContentPartPr/>
          </xdr14:nvContentPartPr>
          <xdr14:nvPr macro=""/>
          <xdr14:xfrm>
            <a:off x="4086225" y="1647825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33E36B8B-E638-4994-B43D-550561D90DDF}"/>
                </a:ext>
                <a:ext uri="{147F2762-F138-4A5C-976F-8EAC2B608ADB}">
                  <a16:predDERef xmlns:a16="http://schemas.microsoft.com/office/drawing/2014/main" pred="{B912D7DE-4161-AF06-620D-380C8B9AD6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86225" y="16478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9525</xdr:colOff>
      <xdr:row>4</xdr:row>
      <xdr:rowOff>9525</xdr:rowOff>
    </xdr:from>
    <xdr:to>
      <xdr:col>13</xdr:col>
      <xdr:colOff>819150</xdr:colOff>
      <xdr:row>12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75D8A3-DC57-774F-676E-80EB782F8CC2}"/>
            </a:ext>
            <a:ext uri="{147F2762-F138-4A5C-976F-8EAC2B608ADB}">
              <a16:predDERef xmlns:a16="http://schemas.microsoft.com/office/drawing/2014/main" pred="{33E36B8B-E638-4994-B43D-550561D90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7025" b="34567"/>
        <a:stretch>
          <a:fillRect/>
        </a:stretch>
      </xdr:blipFill>
      <xdr:spPr>
        <a:xfrm>
          <a:off x="228600" y="400050"/>
          <a:ext cx="6019800" cy="150495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08T00:56:56.33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11351 2275 16383 0 0,'0'0'0'0'0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9"/>
  <sheetViews>
    <sheetView showGridLines="0" showRowColHeaders="0" tabSelected="1" workbookViewId="0">
      <selection activeCell="M16" sqref="M16:N16"/>
    </sheetView>
  </sheetViews>
  <sheetFormatPr defaultColWidth="0" defaultRowHeight="0" customHeight="1" zeroHeight="1"/>
  <cols>
    <col min="1" max="1" width="1.28515625" customWidth="1"/>
    <col min="2" max="2" width="3.28515625" customWidth="1"/>
    <col min="3" max="5" width="9.140625" customWidth="1"/>
    <col min="6" max="6" width="5.7109375" customWidth="1"/>
    <col min="7" max="8" width="9.140625" customWidth="1"/>
    <col min="9" max="9" width="2.140625" customWidth="1"/>
    <col min="10" max="11" width="9.140625" customWidth="1"/>
    <col min="12" max="12" width="5" customWidth="1"/>
    <col min="13" max="13" width="1.28515625" customWidth="1"/>
    <col min="14" max="14" width="12.42578125" customWidth="1"/>
    <col min="15" max="15" width="3.42578125" customWidth="1"/>
    <col min="18" max="18" width="9.140625" hidden="1"/>
    <col min="20" max="20" width="13.28515625" hidden="1"/>
  </cols>
  <sheetData>
    <row r="1" spans="2:15" ht="4.5" customHeight="1"/>
    <row r="2" spans="2:15" ht="7.5" customHeight="1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ht="20.25" customHeight="1">
      <c r="B3" s="10"/>
      <c r="C3" s="18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24"/>
      <c r="O3" s="5"/>
    </row>
    <row r="4" spans="2:15" ht="10.5" customHeight="1">
      <c r="B4" s="10"/>
      <c r="O4" s="5"/>
    </row>
    <row r="5" spans="2:15" ht="14.45">
      <c r="B5" s="10"/>
      <c r="C5" s="59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  <c r="O5" s="5"/>
    </row>
    <row r="6" spans="2:15" ht="14.45">
      <c r="B6" s="10"/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5"/>
    </row>
    <row r="7" spans="2:15" ht="14.45">
      <c r="B7" s="10"/>
      <c r="C7" s="62"/>
      <c r="D7" s="63"/>
      <c r="E7" s="63"/>
      <c r="F7" s="63"/>
      <c r="G7" s="63"/>
      <c r="H7" s="63"/>
      <c r="I7" s="63"/>
      <c r="J7" s="63"/>
      <c r="K7" s="63"/>
      <c r="L7" s="63"/>
      <c r="M7" s="63"/>
      <c r="N7" s="64"/>
      <c r="O7" s="5"/>
    </row>
    <row r="8" spans="2:15" ht="14.45">
      <c r="B8" s="10"/>
      <c r="C8" s="62"/>
      <c r="D8" s="63"/>
      <c r="E8" s="63"/>
      <c r="F8" s="63"/>
      <c r="G8" s="63"/>
      <c r="H8" s="63"/>
      <c r="I8" s="63"/>
      <c r="J8" s="63"/>
      <c r="K8" s="63"/>
      <c r="L8" s="63"/>
      <c r="M8" s="63"/>
      <c r="N8" s="64"/>
      <c r="O8" s="5"/>
    </row>
    <row r="9" spans="2:15" ht="14.45">
      <c r="B9" s="10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4"/>
      <c r="O9" s="5"/>
    </row>
    <row r="10" spans="2:15" ht="14.45">
      <c r="B10" s="10"/>
      <c r="C10" s="6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4"/>
      <c r="O10" s="5"/>
    </row>
    <row r="11" spans="2:15" ht="14.45">
      <c r="B11" s="10"/>
      <c r="C11" s="6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4"/>
      <c r="O11" s="5"/>
    </row>
    <row r="12" spans="2:15" ht="14.45">
      <c r="B12" s="10"/>
      <c r="C12" s="65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7"/>
      <c r="O12" s="5"/>
    </row>
    <row r="13" spans="2:15" ht="14.45">
      <c r="B13" s="10"/>
      <c r="O13" s="5"/>
    </row>
    <row r="14" spans="2:15" ht="18.600000000000001">
      <c r="B14" s="10"/>
      <c r="C14" s="95" t="s">
        <v>1</v>
      </c>
      <c r="D14" s="96"/>
      <c r="E14" s="96"/>
      <c r="F14" s="96"/>
      <c r="G14" s="96"/>
      <c r="H14" s="97"/>
      <c r="J14" s="82" t="s">
        <v>2</v>
      </c>
      <c r="K14" s="83"/>
      <c r="L14" s="83"/>
      <c r="M14" s="83"/>
      <c r="N14" s="84"/>
      <c r="O14" s="5"/>
    </row>
    <row r="15" spans="2:15" ht="14.45">
      <c r="B15" s="10"/>
      <c r="C15" s="91" t="s">
        <v>3</v>
      </c>
      <c r="D15" s="92"/>
      <c r="E15" s="92"/>
      <c r="F15" s="92"/>
      <c r="G15" s="98">
        <v>100</v>
      </c>
      <c r="H15" s="99"/>
      <c r="J15" s="76" t="s">
        <v>4</v>
      </c>
      <c r="K15" s="77"/>
      <c r="L15" s="77"/>
      <c r="M15" s="85">
        <v>2000</v>
      </c>
      <c r="N15" s="86"/>
      <c r="O15" s="5"/>
    </row>
    <row r="16" spans="2:15" ht="14.45">
      <c r="B16" s="10"/>
      <c r="C16" s="93" t="s">
        <v>5</v>
      </c>
      <c r="D16" s="94"/>
      <c r="E16" s="94"/>
      <c r="F16" s="94"/>
      <c r="G16" s="72">
        <v>5</v>
      </c>
      <c r="H16" s="73"/>
      <c r="J16" s="78" t="s">
        <v>6</v>
      </c>
      <c r="K16" s="79"/>
      <c r="L16" s="79"/>
      <c r="M16" s="87">
        <v>6.0000000000000001E-3</v>
      </c>
      <c r="N16" s="88"/>
      <c r="O16" s="5"/>
    </row>
    <row r="17" spans="2:20" ht="14.45">
      <c r="B17" s="10"/>
      <c r="C17" s="93" t="s">
        <v>7</v>
      </c>
      <c r="D17" s="94"/>
      <c r="E17" s="94"/>
      <c r="F17" s="94"/>
      <c r="G17" s="100">
        <v>1.0789999999999999E-2</v>
      </c>
      <c r="H17" s="101"/>
      <c r="J17" s="80" t="s">
        <v>8</v>
      </c>
      <c r="K17" s="81"/>
      <c r="L17" s="81"/>
      <c r="M17" s="89">
        <f>M15*0.3</f>
        <v>600</v>
      </c>
      <c r="N17" s="90"/>
      <c r="O17" s="5"/>
    </row>
    <row r="18" spans="2:20" ht="14.45">
      <c r="B18" s="10"/>
      <c r="C18" s="55" t="s">
        <v>9</v>
      </c>
      <c r="D18" s="56"/>
      <c r="E18" s="56"/>
      <c r="F18" s="56"/>
      <c r="G18" s="68">
        <f>FV(G17,G16*12,G15)*-1</f>
        <v>8377.6913998487635</v>
      </c>
      <c r="H18" s="69"/>
      <c r="O18" s="11"/>
    </row>
    <row r="19" spans="2:20" ht="14.45">
      <c r="B19" s="10"/>
      <c r="C19" s="57" t="s">
        <v>10</v>
      </c>
      <c r="D19" s="58"/>
      <c r="E19" s="58"/>
      <c r="F19" s="58"/>
      <c r="G19" s="70">
        <f>G18*G17</f>
        <v>90.395290204368152</v>
      </c>
      <c r="H19" s="71"/>
      <c r="O19" s="5"/>
    </row>
    <row r="20" spans="2:20" ht="12" customHeight="1">
      <c r="B20" s="10"/>
      <c r="H20" s="3"/>
      <c r="O20" s="5"/>
    </row>
    <row r="21" spans="2:20" ht="18.600000000000001">
      <c r="B21" s="10"/>
      <c r="C21" s="18" t="s">
        <v>11</v>
      </c>
      <c r="D21" s="19"/>
      <c r="E21" s="19"/>
      <c r="F21" s="19"/>
      <c r="G21" s="19"/>
      <c r="H21" s="19"/>
      <c r="I21" s="18" t="s">
        <v>12</v>
      </c>
      <c r="J21" s="19"/>
      <c r="K21" s="19"/>
      <c r="L21" s="19"/>
      <c r="M21" s="19"/>
      <c r="N21" s="24"/>
      <c r="O21" s="5"/>
    </row>
    <row r="22" spans="2:20" ht="14.45">
      <c r="B22" s="10"/>
      <c r="C22" s="44" t="s">
        <v>13</v>
      </c>
      <c r="D22" s="45"/>
      <c r="E22" s="45"/>
      <c r="F22" s="46"/>
      <c r="G22" s="74">
        <f>FV($G$17,1*12,$G$15)*-1</f>
        <v>1273.8386000556559</v>
      </c>
      <c r="H22" s="75"/>
      <c r="I22" s="102">
        <f>G22*$M$16</f>
        <v>7.6430316003339351</v>
      </c>
      <c r="J22" s="103"/>
      <c r="K22" s="103"/>
      <c r="L22" s="103"/>
      <c r="M22" s="103"/>
      <c r="N22" s="104"/>
      <c r="O22" s="5"/>
    </row>
    <row r="23" spans="2:20" ht="14.45">
      <c r="B23" s="10"/>
      <c r="C23" s="47" t="s">
        <v>14</v>
      </c>
      <c r="D23" s="48"/>
      <c r="E23" s="48"/>
      <c r="F23" s="49"/>
      <c r="G23" s="53">
        <f>FV($G$17,3*12,$G$15)*-1</f>
        <v>4370.8374023022106</v>
      </c>
      <c r="H23" s="54"/>
      <c r="I23" s="102">
        <f t="shared" ref="I23:I25" si="0">G23*$M$16</f>
        <v>26.225024413813266</v>
      </c>
      <c r="J23" s="103"/>
      <c r="K23" s="103"/>
      <c r="L23" s="103"/>
      <c r="M23" s="103"/>
      <c r="N23" s="104"/>
      <c r="O23" s="5"/>
      <c r="T23" s="1"/>
    </row>
    <row r="24" spans="2:20" ht="14.45">
      <c r="B24" s="10"/>
      <c r="C24" s="47" t="s">
        <v>15</v>
      </c>
      <c r="D24" s="48"/>
      <c r="E24" s="48"/>
      <c r="F24" s="49"/>
      <c r="G24" s="53">
        <f>FV($G$17,10*12,$G$15)*-1</f>
        <v>24328.421253017219</v>
      </c>
      <c r="H24" s="54"/>
      <c r="I24" s="102">
        <f t="shared" si="0"/>
        <v>145.97052751810332</v>
      </c>
      <c r="J24" s="103"/>
      <c r="K24" s="103"/>
      <c r="L24" s="103"/>
      <c r="M24" s="103"/>
      <c r="N24" s="104"/>
      <c r="O24" s="5"/>
      <c r="T24" s="2"/>
    </row>
    <row r="25" spans="2:20" ht="14.45">
      <c r="B25" s="10"/>
      <c r="C25" s="50" t="s">
        <v>16</v>
      </c>
      <c r="D25" s="51"/>
      <c r="E25" s="51"/>
      <c r="F25" s="52"/>
      <c r="G25" s="42">
        <f>FV($G$17,20*12,$G$15)*-1</f>
        <v>112519.84000970806</v>
      </c>
      <c r="H25" s="43"/>
      <c r="I25" s="105">
        <f t="shared" si="0"/>
        <v>675.1190400582484</v>
      </c>
      <c r="J25" s="106"/>
      <c r="K25" s="106"/>
      <c r="L25" s="106"/>
      <c r="M25" s="106"/>
      <c r="N25" s="107"/>
      <c r="O25" s="5"/>
    </row>
    <row r="26" spans="2:20" ht="14.45">
      <c r="B26" s="10"/>
      <c r="O26" s="5"/>
    </row>
    <row r="27" spans="2:20" ht="18.600000000000001">
      <c r="B27" s="10"/>
      <c r="C27" s="29" t="s">
        <v>17</v>
      </c>
      <c r="D27" s="30"/>
      <c r="E27" s="30"/>
      <c r="F27" s="30"/>
      <c r="G27" s="30"/>
      <c r="H27" s="30"/>
      <c r="I27" s="31" t="s">
        <v>18</v>
      </c>
      <c r="J27" s="32"/>
      <c r="K27" s="32"/>
      <c r="L27" s="32"/>
      <c r="M27" s="32"/>
      <c r="N27" s="33"/>
      <c r="O27" s="5"/>
    </row>
    <row r="28" spans="2:20" ht="14.45">
      <c r="B28" s="10"/>
      <c r="C28" s="39" t="s">
        <v>19</v>
      </c>
      <c r="D28" s="40"/>
      <c r="E28" s="40"/>
      <c r="F28" s="41"/>
      <c r="G28" s="34">
        <f>G15</f>
        <v>100</v>
      </c>
      <c r="H28" s="35"/>
      <c r="I28" s="35"/>
      <c r="J28" s="35"/>
      <c r="K28" s="35"/>
      <c r="L28" s="35"/>
      <c r="M28" s="35"/>
      <c r="N28" s="36"/>
      <c r="O28" s="5"/>
    </row>
    <row r="29" spans="2:20" ht="15" customHeight="1">
      <c r="B29" s="10"/>
      <c r="C29" s="23"/>
      <c r="D29" s="23"/>
      <c r="E29" s="23"/>
      <c r="F29" s="23"/>
      <c r="G29" s="23"/>
      <c r="H29" s="23"/>
      <c r="I29" s="23"/>
      <c r="J29" s="23"/>
      <c r="K29" s="23"/>
      <c r="O29" s="5"/>
    </row>
    <row r="30" spans="2:20" ht="18.600000000000001">
      <c r="B30" s="10"/>
      <c r="C30" s="18" t="s">
        <v>20</v>
      </c>
      <c r="D30" s="19"/>
      <c r="E30" s="19"/>
      <c r="F30" s="18" t="s">
        <v>21</v>
      </c>
      <c r="G30" s="19"/>
      <c r="H30" s="19"/>
      <c r="I30" s="18" t="s">
        <v>22</v>
      </c>
      <c r="J30" s="19"/>
      <c r="K30" s="19"/>
      <c r="L30" s="19"/>
      <c r="M30" s="19"/>
      <c r="N30" s="24"/>
      <c r="O30" s="5"/>
    </row>
    <row r="31" spans="2:20" ht="14.45">
      <c r="B31" s="10"/>
      <c r="C31" s="27" t="s">
        <v>23</v>
      </c>
      <c r="D31" s="28"/>
      <c r="E31" s="28"/>
      <c r="F31" s="37" cm="1">
        <f t="array" ref="F31">_xlfn.IFS($I$27="CONSERVADOR",30%,$I$27="MODERADOR",32%,$I$27="AGRESSIVO",50%)</f>
        <v>0.3</v>
      </c>
      <c r="G31" s="37"/>
      <c r="H31" s="38"/>
      <c r="I31" s="102">
        <f>F31*$G$28</f>
        <v>30</v>
      </c>
      <c r="J31" s="103"/>
      <c r="K31" s="103"/>
      <c r="L31" s="103"/>
      <c r="M31" s="103"/>
      <c r="N31" s="104"/>
      <c r="O31" s="5"/>
    </row>
    <row r="32" spans="2:20" ht="14.45">
      <c r="B32" s="10"/>
      <c r="C32" s="16" t="s">
        <v>24</v>
      </c>
      <c r="D32" s="17"/>
      <c r="E32" s="17"/>
      <c r="F32" s="25" cm="1">
        <f t="array" ref="F32">_xlfn.IFS($I$27="CONSERVADOR",50%,$I$27="MODERADOR",40%,$I$27="AGRESSIVO",10%)</f>
        <v>0.5</v>
      </c>
      <c r="G32" s="25"/>
      <c r="H32" s="26"/>
      <c r="I32" s="102">
        <f t="shared" ref="I32:I35" si="1">F32*$G$28</f>
        <v>50</v>
      </c>
      <c r="J32" s="103"/>
      <c r="K32" s="103"/>
      <c r="L32" s="103"/>
      <c r="M32" s="103"/>
      <c r="N32" s="104"/>
      <c r="O32" s="5"/>
    </row>
    <row r="33" spans="2:15" ht="14.45">
      <c r="B33" s="10"/>
      <c r="C33" s="16" t="s">
        <v>25</v>
      </c>
      <c r="D33" s="17"/>
      <c r="E33" s="17"/>
      <c r="F33" s="25" cm="1">
        <f t="array" ref="F33">_xlfn.IFS($I$27="CONSERVADOR",10%,$I$27="MODERADOR",8%,$I$27="AGRESSIVO",5%)</f>
        <v>0.1</v>
      </c>
      <c r="G33" s="25"/>
      <c r="H33" s="26"/>
      <c r="I33" s="102">
        <f t="shared" si="1"/>
        <v>10</v>
      </c>
      <c r="J33" s="103"/>
      <c r="K33" s="103"/>
      <c r="L33" s="103"/>
      <c r="M33" s="103"/>
      <c r="N33" s="104"/>
      <c r="O33" s="5"/>
    </row>
    <row r="34" spans="2:15" ht="14.45">
      <c r="B34" s="10"/>
      <c r="C34" s="16" t="s">
        <v>26</v>
      </c>
      <c r="D34" s="17"/>
      <c r="E34" s="17"/>
      <c r="F34" s="25" cm="1">
        <f t="array" ref="F34">_xlfn.IFS($I$27="CONSERVADOR",10%,$I$27="MODERADOR",10%,$I$27="AGRESSIVO",5%)</f>
        <v>0.1</v>
      </c>
      <c r="G34" s="25"/>
      <c r="H34" s="26"/>
      <c r="I34" s="102">
        <f t="shared" si="1"/>
        <v>10</v>
      </c>
      <c r="J34" s="103"/>
      <c r="K34" s="103"/>
      <c r="L34" s="103"/>
      <c r="M34" s="103"/>
      <c r="N34" s="104"/>
      <c r="O34" s="5"/>
    </row>
    <row r="35" spans="2:15" ht="14.45">
      <c r="B35" s="10"/>
      <c r="C35" s="16" t="s">
        <v>27</v>
      </c>
      <c r="D35" s="17"/>
      <c r="E35" s="17"/>
      <c r="F35" s="25" cm="1">
        <f t="array" ref="F35">_xlfn.IFS($I$27="CONSERVADOR",0%,$I$27="MODERADOR",10%,$I$27="AGRESSIVO",20%)</f>
        <v>0</v>
      </c>
      <c r="G35" s="25"/>
      <c r="H35" s="26"/>
      <c r="I35" s="102">
        <f t="shared" si="1"/>
        <v>0</v>
      </c>
      <c r="J35" s="103"/>
      <c r="K35" s="103"/>
      <c r="L35" s="103"/>
      <c r="M35" s="103"/>
      <c r="N35" s="104"/>
      <c r="O35" s="5"/>
    </row>
    <row r="36" spans="2:15" ht="14.45">
      <c r="B36" s="10"/>
      <c r="C36" s="16" t="s">
        <v>28</v>
      </c>
      <c r="D36" s="17"/>
      <c r="E36" s="17"/>
      <c r="F36" s="25" cm="1">
        <f t="array" ref="F36">_xlfn.IFS($I$27="CONSERVADOR",0%,$I$27="MODERADOR",10%,$I$27="AGRESSIVO",10%)</f>
        <v>0</v>
      </c>
      <c r="G36" s="25"/>
      <c r="H36" s="26"/>
      <c r="I36" s="102">
        <f>F36*$G$28</f>
        <v>0</v>
      </c>
      <c r="J36" s="103"/>
      <c r="K36" s="103"/>
      <c r="L36" s="103"/>
      <c r="M36" s="103"/>
      <c r="N36" s="104"/>
      <c r="O36" s="5"/>
    </row>
    <row r="37" spans="2:15" ht="14.45">
      <c r="B37" s="10"/>
      <c r="C37" s="20" t="s">
        <v>29</v>
      </c>
      <c r="D37" s="21"/>
      <c r="E37" s="21"/>
      <c r="F37" s="21"/>
      <c r="G37" s="21"/>
      <c r="H37" s="22"/>
      <c r="I37" s="105">
        <f>SUM(I31:K36)</f>
        <v>100</v>
      </c>
      <c r="J37" s="106"/>
      <c r="K37" s="106"/>
      <c r="L37" s="106"/>
      <c r="M37" s="106"/>
      <c r="N37" s="107"/>
      <c r="O37" s="5"/>
    </row>
    <row r="38" spans="2:15" ht="14.45"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6"/>
    </row>
    <row r="39" spans="2:15" ht="14.45" hidden="1">
      <c r="B39" s="10"/>
      <c r="O39" s="5"/>
    </row>
    <row r="40" spans="2:15" ht="14.45" hidden="1">
      <c r="B40" s="10"/>
      <c r="O40" s="5"/>
    </row>
    <row r="41" spans="2:15" ht="14.45" hidden="1">
      <c r="B41" s="10"/>
      <c r="O41" s="5"/>
    </row>
    <row r="42" spans="2:15" ht="14.45" hidden="1">
      <c r="B42" s="10"/>
      <c r="O42" s="5"/>
    </row>
    <row r="43" spans="2:15" ht="14.45" hidden="1">
      <c r="B43" s="10"/>
      <c r="O43" s="5"/>
    </row>
    <row r="44" spans="2:15" ht="14.45" hidden="1">
      <c r="B44" s="10"/>
      <c r="O44" s="5"/>
    </row>
    <row r="45" spans="2:15" ht="14.45" hidden="1">
      <c r="B45" s="10"/>
      <c r="O45" s="5"/>
    </row>
    <row r="46" spans="2:15" ht="0" hidden="1" customHeight="1">
      <c r="B46" s="10"/>
      <c r="O46" s="5"/>
    </row>
    <row r="47" spans="2:15" ht="0" hidden="1" customHeight="1">
      <c r="B47" s="10"/>
      <c r="O47" s="5"/>
    </row>
    <row r="48" spans="2:15" ht="0" hidden="1" customHeight="1">
      <c r="B48" s="10"/>
      <c r="O48" s="5"/>
    </row>
    <row r="49" spans="2:15" ht="0" hidden="1" customHeight="1">
      <c r="B49" s="10"/>
      <c r="O49" s="5"/>
    </row>
    <row r="50" spans="2:15" ht="0" hidden="1" customHeight="1">
      <c r="B50" s="10"/>
      <c r="O50" s="5"/>
    </row>
    <row r="51" spans="2:15" ht="0" hidden="1" customHeight="1">
      <c r="B51" s="10"/>
      <c r="O51" s="5"/>
    </row>
    <row r="52" spans="2:15" ht="0" hidden="1" customHeight="1">
      <c r="B52" s="10"/>
      <c r="O52" s="5"/>
    </row>
    <row r="53" spans="2:15" ht="0" hidden="1" customHeight="1">
      <c r="B53" s="10"/>
      <c r="O53" s="5"/>
    </row>
    <row r="54" spans="2:15" ht="0" hidden="1" customHeight="1">
      <c r="B54" s="10"/>
      <c r="O54" s="5"/>
    </row>
    <row r="55" spans="2:15" ht="0" hidden="1" customHeight="1">
      <c r="B55" s="10"/>
      <c r="O55" s="5"/>
    </row>
    <row r="56" spans="2:15" ht="0" hidden="1" customHeight="1">
      <c r="B56" s="10"/>
      <c r="O56" s="5"/>
    </row>
    <row r="57" spans="2:15" ht="0" hidden="1" customHeight="1">
      <c r="B57" s="10"/>
      <c r="O57" s="5"/>
    </row>
    <row r="58" spans="2:15" ht="0" hidden="1" customHeight="1">
      <c r="B58" s="10"/>
      <c r="O58" s="5"/>
    </row>
    <row r="59" spans="2:15" ht="0" hidden="1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</row>
  </sheetData>
  <sheetProtection algorithmName="SHA-512" hashValue="0o15S0NA5b1v0LBZ+9uS+z+7cEZyRR+GwOFW2wded/9JYKPtWTMMSoP6c6ZwDaMjMbSEls9ehVemZ8p1mDmGsA==" saltValue="AaQm7XYVfJsCfapTnYzIQQ==" spinCount="100000" sheet="1" objects="1" scenarios="1" selectLockedCells="1"/>
  <mergeCells count="62">
    <mergeCell ref="I37:N37"/>
    <mergeCell ref="I30:N30"/>
    <mergeCell ref="I31:N31"/>
    <mergeCell ref="I32:N32"/>
    <mergeCell ref="I33:N33"/>
    <mergeCell ref="I34:N34"/>
    <mergeCell ref="I35:N35"/>
    <mergeCell ref="I36:N36"/>
    <mergeCell ref="I21:N21"/>
    <mergeCell ref="I22:N22"/>
    <mergeCell ref="I23:N23"/>
    <mergeCell ref="I24:N24"/>
    <mergeCell ref="I25:N25"/>
    <mergeCell ref="C15:F15"/>
    <mergeCell ref="C16:F16"/>
    <mergeCell ref="C17:F17"/>
    <mergeCell ref="C14:H14"/>
    <mergeCell ref="G15:H15"/>
    <mergeCell ref="G17:H17"/>
    <mergeCell ref="C21:H21"/>
    <mergeCell ref="C18:F18"/>
    <mergeCell ref="C19:F19"/>
    <mergeCell ref="G24:H24"/>
    <mergeCell ref="C5:N12"/>
    <mergeCell ref="G18:H18"/>
    <mergeCell ref="G19:H19"/>
    <mergeCell ref="G16:H16"/>
    <mergeCell ref="G22:H22"/>
    <mergeCell ref="J15:L15"/>
    <mergeCell ref="J16:L16"/>
    <mergeCell ref="J17:L17"/>
    <mergeCell ref="J14:N14"/>
    <mergeCell ref="M15:N15"/>
    <mergeCell ref="M16:N16"/>
    <mergeCell ref="M17:N17"/>
    <mergeCell ref="G25:H25"/>
    <mergeCell ref="C22:F22"/>
    <mergeCell ref="C23:F23"/>
    <mergeCell ref="C24:F24"/>
    <mergeCell ref="C25:F25"/>
    <mergeCell ref="G23:H23"/>
    <mergeCell ref="C35:E35"/>
    <mergeCell ref="F30:H30"/>
    <mergeCell ref="F31:H31"/>
    <mergeCell ref="F32:H32"/>
    <mergeCell ref="C28:F28"/>
    <mergeCell ref="C36:E36"/>
    <mergeCell ref="C30:E30"/>
    <mergeCell ref="C37:H37"/>
    <mergeCell ref="C29:K29"/>
    <mergeCell ref="C3:N3"/>
    <mergeCell ref="F33:H33"/>
    <mergeCell ref="F34:H34"/>
    <mergeCell ref="F35:H35"/>
    <mergeCell ref="F36:H36"/>
    <mergeCell ref="C31:E31"/>
    <mergeCell ref="C32:E32"/>
    <mergeCell ref="C27:H27"/>
    <mergeCell ref="I27:N27"/>
    <mergeCell ref="G28:N28"/>
    <mergeCell ref="C33:E33"/>
    <mergeCell ref="C34:E34"/>
  </mergeCells>
  <conditionalFormatting sqref="I27:N27">
    <cfRule type="cellIs" dxfId="2" priority="1" operator="equal">
      <formula>"AGRESSIVO"</formula>
    </cfRule>
    <cfRule type="cellIs" dxfId="1" priority="2" operator="equal">
      <formula>"MODERADOR"</formula>
    </cfRule>
    <cfRule type="cellIs" dxfId="0" priority="3" operator="equal">
      <formula>"CONSERVADOR"</formula>
    </cfRule>
  </conditionalFormatting>
  <dataValidations count="1">
    <dataValidation type="list" allowBlank="1" showInputMessage="1" showErrorMessage="1" sqref="I27" xr:uid="{9EFECFD2-9565-4CBB-A693-B294CE516B19}">
      <formula1>"CONSERVADOR,MODERADOR,AGRESSIVO"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2026-01-08T00:10:45Z</dcterms:created>
  <dcterms:modified xsi:type="dcterms:W3CDTF">2026-01-31T00:55:47Z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e56fd9-20ae-45e8-98b0-1dd684cd76ff_Enabled">
    <vt:lpwstr>true</vt:lpwstr>
  </property>
  <property fmtid="{D5CDD505-2E9C-101B-9397-08002B2CF9AE}" pid="3" name="MSIP_Label_3be56fd9-20ae-45e8-98b0-1dd684cd76ff_SetDate">
    <vt:lpwstr>2026-01-20T18:42:20Z</vt:lpwstr>
  </property>
  <property fmtid="{D5CDD505-2E9C-101B-9397-08002B2CF9AE}" pid="4" name="MSIP_Label_3be56fd9-20ae-45e8-98b0-1dd684cd76ff_Method">
    <vt:lpwstr>Standard</vt:lpwstr>
  </property>
  <property fmtid="{D5CDD505-2E9C-101B-9397-08002B2CF9AE}" pid="5" name="MSIP_Label_3be56fd9-20ae-45e8-98b0-1dd684cd76ff_Name">
    <vt:lpwstr>Confidencial</vt:lpwstr>
  </property>
  <property fmtid="{D5CDD505-2E9C-101B-9397-08002B2CF9AE}" pid="6" name="MSIP_Label_3be56fd9-20ae-45e8-98b0-1dd684cd76ff_SiteId">
    <vt:lpwstr>3c9746ae-ba69-4f60-8ab9-d5e637635dcd</vt:lpwstr>
  </property>
  <property fmtid="{D5CDD505-2E9C-101B-9397-08002B2CF9AE}" pid="7" name="MSIP_Label_3be56fd9-20ae-45e8-98b0-1dd684cd76ff_ActionId">
    <vt:lpwstr>c801cca2-59fa-4f23-9782-67b637f5ed92</vt:lpwstr>
  </property>
  <property fmtid="{D5CDD505-2E9C-101B-9397-08002B2CF9AE}" pid="8" name="MSIP_Label_3be56fd9-20ae-45e8-98b0-1dd684cd76ff_ContentBits">
    <vt:lpwstr>0</vt:lpwstr>
  </property>
  <property fmtid="{D5CDD505-2E9C-101B-9397-08002B2CF9AE}" pid="9" name="MSIP_Label_3be56fd9-20ae-45e8-98b0-1dd684cd76ff_Tag">
    <vt:lpwstr>10, 3, 0, 1</vt:lpwstr>
  </property>
</Properties>
</file>